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age\projects\Portfolio\supplier-catalogue-preflight\outputs\"/>
    </mc:Choice>
  </mc:AlternateContent>
  <xr:revisionPtr revIDLastSave="0" documentId="13_ncr:1_{3B336A6A-BC32-4A3D-B125-54CF285F1A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11" i="1"/>
  <c r="B10" i="1"/>
  <c r="B9" i="1"/>
  <c r="B8" i="1"/>
  <c r="B7" i="1"/>
  <c r="B6" i="1"/>
  <c r="B5" i="1"/>
  <c r="B4" i="1"/>
  <c r="B12" i="1" s="1"/>
  <c r="B3" i="1"/>
  <c r="B2" i="1"/>
  <c r="B14" i="1" l="1"/>
</calcChain>
</file>

<file path=xl/sharedStrings.xml><?xml version="1.0" encoding="utf-8"?>
<sst xmlns="http://schemas.openxmlformats.org/spreadsheetml/2006/main" count="236" uniqueCount="120">
  <si>
    <t>Measure</t>
  </si>
  <si>
    <t>Count</t>
  </si>
  <si>
    <t>Review findings</t>
  </si>
  <si>
    <t>Total supplier rows reviewed</t>
  </si>
  <si>
    <t>I compared 21 simulated supplier rows with 19 included store products and variations. There were 17 exact SKU matches: 2 proposed price increases, 2 decreases and 13 unchanged prices.</t>
  </si>
  <si>
    <t>Exact matches</t>
  </si>
  <si>
    <t>Missing or invalid SKUs</t>
  </si>
  <si>
    <t>Missing store SKUs</t>
  </si>
  <si>
    <t>Duplicate supplier SKUs</t>
  </si>
  <si>
    <t>Decisions needed</t>
  </si>
  <si>
    <t>Duplicate store SKUs</t>
  </si>
  <si>
    <t>Four rows need investigation: 2 conflicting sunglasses entries, 1 missing cap price and 1 SKU not found in the included store catalogue. Separately, the 4 proposed price changes on exact matches need the operator's approval. An exact match does not mean a price change is approved.</t>
  </si>
  <si>
    <t>Missing or invalid prices</t>
  </si>
  <si>
    <t>Price increases</t>
  </si>
  <si>
    <t>Price decreases</t>
  </si>
  <si>
    <t>Unchanged prices</t>
  </si>
  <si>
    <t>Assumptions and limits</t>
  </si>
  <si>
    <t>Primary exceptions</t>
  </si>
  <si>
    <t>Only physical simple products and variations were included. Matching used case-sensitive SKUs after trimming outer spaces. Original SKUs and cleaning notes were preserved. Current prices came from Regular price; proposed prices are replacement selling prices. Prices use sample price units. This is a portfolio simulation, not paid client work. No store prices were updated.</t>
  </si>
  <si>
    <t>Rows with additional issues</t>
  </si>
  <si>
    <t>Proposed price changes needing approval</t>
  </si>
  <si>
    <t>Colour key</t>
  </si>
  <si>
    <t>Light red: problem row requiring investigation</t>
  </si>
  <si>
    <t>Light yellow: proposed price change for approval</t>
  </si>
  <si>
    <t>Source files</t>
  </si>
  <si>
    <t>Official WooCommerce sample_products.csv and simulated supplier_update.csv. Expected classifications are documented in expected_results.csv.</t>
  </si>
  <si>
    <t>Duplicate counts refer to affected rows.</t>
  </si>
  <si>
    <t>Supplier row ID</t>
  </si>
  <si>
    <t>Original supplier SKU</t>
  </si>
  <si>
    <t>Supplier name</t>
  </si>
  <si>
    <t>Matched store SKU</t>
  </si>
  <si>
    <t>Matched store product</t>
  </si>
  <si>
    <t>Current store price</t>
  </si>
  <si>
    <t>Proposed supplier price</t>
  </si>
  <si>
    <t>Price difference</t>
  </si>
  <si>
    <t>Price change direction</t>
  </si>
  <si>
    <t>Primary status</t>
  </si>
  <si>
    <t>Other issues</t>
  </si>
  <si>
    <t>SKU cleaning note</t>
  </si>
  <si>
    <t>Reason</t>
  </si>
  <si>
    <t>Action needed</t>
  </si>
  <si>
    <t>1</t>
  </si>
  <si>
    <t>woo-hoodie-with-logo</t>
  </si>
  <si>
    <t>Hoodie with Logo</t>
  </si>
  <si>
    <t>unchanged</t>
  </si>
  <si>
    <t>exact_match</t>
  </si>
  <si>
    <t>SKU matches one store item and prices are usable.</t>
  </si>
  <si>
    <t>No price change needed.</t>
  </si>
  <si>
    <t>2</t>
  </si>
  <si>
    <t>woo-tshirt</t>
  </si>
  <si>
    <t>T-Shirt</t>
  </si>
  <si>
    <t>increase</t>
  </si>
  <si>
    <t>Approve or reject the proposed price change.</t>
  </si>
  <si>
    <t>3</t>
  </si>
  <si>
    <t>woo-beanie</t>
  </si>
  <si>
    <t>Beanie</t>
  </si>
  <si>
    <t>decrease</t>
  </si>
  <si>
    <t>4</t>
  </si>
  <si>
    <t>woo-belt</t>
  </si>
  <si>
    <t>Belt</t>
  </si>
  <si>
    <t>Leading/trailing whitespace removed before matching</t>
  </si>
  <si>
    <t>5</t>
  </si>
  <si>
    <t>woo-cap</t>
  </si>
  <si>
    <t>Cap</t>
  </si>
  <si>
    <t>missing_or_invalid_price</t>
  </si>
  <si>
    <t>A required price is missing or invalid.</t>
  </si>
  <si>
    <t>Confirm the missing or invalid price.</t>
  </si>
  <si>
    <t>6</t>
  </si>
  <si>
    <t>woo-sunglasses</t>
  </si>
  <si>
    <t>Sunglasses</t>
  </si>
  <si>
    <t>duplicate_supplier_sku</t>
  </si>
  <si>
    <t>SKU appears more than once in the supplier file.</t>
  </si>
  <si>
    <t>Confirm which supplier entry to use.</t>
  </si>
  <si>
    <t>7</t>
  </si>
  <si>
    <t>woo-hoodie-with-pocket</t>
  </si>
  <si>
    <t>Hoodie with Pocket</t>
  </si>
  <si>
    <t>8</t>
  </si>
  <si>
    <t>woo-hoodie-with-zipper</t>
  </si>
  <si>
    <t>Hoodie with Zipper</t>
  </si>
  <si>
    <t>9</t>
  </si>
  <si>
    <t>woo-long-sleeve-tee</t>
  </si>
  <si>
    <t>Long Sleeve Tee</t>
  </si>
  <si>
    <t>10</t>
  </si>
  <si>
    <t>woo-polo</t>
  </si>
  <si>
    <t>Polo</t>
  </si>
  <si>
    <t>11</t>
  </si>
  <si>
    <t>woo-vneck-tee-red</t>
  </si>
  <si>
    <t>V-Neck T-Shirt - Red</t>
  </si>
  <si>
    <t>12</t>
  </si>
  <si>
    <t>woo-vneck-tee-green</t>
  </si>
  <si>
    <t>V-Neck T-Shirt - Green</t>
  </si>
  <si>
    <t>13</t>
  </si>
  <si>
    <t>woo-vneck-tee-blue</t>
  </si>
  <si>
    <t>V-Neck T-Shirt - Blue</t>
  </si>
  <si>
    <t>14</t>
  </si>
  <si>
    <t>woo-hoodie-red</t>
  </si>
  <si>
    <t>Hoodie - Red, No</t>
  </si>
  <si>
    <t>15</t>
  </si>
  <si>
    <t>woo-hoodie-green</t>
  </si>
  <si>
    <t>Hoodie - Green, No</t>
  </si>
  <si>
    <t>16</t>
  </si>
  <si>
    <t>woo-hoodie-blue</t>
  </si>
  <si>
    <t>Hoodie - Blue, No</t>
  </si>
  <si>
    <t>17</t>
  </si>
  <si>
    <t>Woo-tshirt-logo</t>
  </si>
  <si>
    <t>T-Shirt with Logo</t>
  </si>
  <si>
    <t>18</t>
  </si>
  <si>
    <t>Woo-beanie-logo</t>
  </si>
  <si>
    <t>Beanie with Logo</t>
  </si>
  <si>
    <t>19</t>
  </si>
  <si>
    <t>woo-hoodie-blue-logo</t>
  </si>
  <si>
    <t>Hoodie - Blue, Yes</t>
  </si>
  <si>
    <t>20</t>
  </si>
  <si>
    <t>21</t>
  </si>
  <si>
    <t>sim-new-shoe-brush</t>
  </si>
  <si>
    <t>Simulated Shoe Brush</t>
  </si>
  <si>
    <t>missing_store_sku</t>
  </si>
  <si>
    <t>SKU was not found in the included store products.</t>
  </si>
  <si>
    <t>Check the SKU and whether the item belongs in this review.</t>
  </si>
  <si>
    <t xml:space="preserve"> woo-belt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</si>
</sst>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7350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2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i/>
      <sz val="10"/>
      <color rgb="FF55555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 wrapText="1"/>
    </xf>
    <xf numFmtId="1" fontId="1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1" fontId="4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left" vertical="top" wrapText="1"/>
    </xf>
    <xf numFmtId="0" fontId="1" fillId="4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2">
    <dxf>
      <font>
        <color rgb="FF735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Table" displayName="ReviewTable" ref="A1:N22" totalsRowShown="0">
  <autoFilter ref="A1:N22" xr:uid="{00000000-0009-0000-0100-000001000000}"/>
  <tableColumns count="14">
    <tableColumn id="1" xr3:uid="{00000000-0010-0000-0000-000001000000}" name="Supplier row ID"/>
    <tableColumn id="2" xr3:uid="{00000000-0010-0000-0000-000002000000}" name="Original supplier SKU"/>
    <tableColumn id="3" xr3:uid="{00000000-0010-0000-0000-000003000000}" name="Supplier name"/>
    <tableColumn id="4" xr3:uid="{00000000-0010-0000-0000-000004000000}" name="Matched store SKU"/>
    <tableColumn id="5" xr3:uid="{00000000-0010-0000-0000-000005000000}" name="Matched store product"/>
    <tableColumn id="6" xr3:uid="{00000000-0010-0000-0000-000006000000}" name="Current store price"/>
    <tableColumn id="7" xr3:uid="{00000000-0010-0000-0000-000007000000}" name="Proposed supplier price"/>
    <tableColumn id="8" xr3:uid="{00000000-0010-0000-0000-000008000000}" name="Price difference"/>
    <tableColumn id="9" xr3:uid="{00000000-0010-0000-0000-000009000000}" name="Price change direction"/>
    <tableColumn id="10" xr3:uid="{00000000-0010-0000-0000-00000A000000}" name="Primary status"/>
    <tableColumn id="11" xr3:uid="{00000000-0010-0000-0000-00000B000000}" name="Other issues"/>
    <tableColumn id="12" xr3:uid="{00000000-0010-0000-0000-00000C000000}" name="SKU cleaning note"/>
    <tableColumn id="13" xr3:uid="{00000000-0010-0000-0000-00000D000000}" name="Reason"/>
    <tableColumn id="14" xr3:uid="{00000000-0010-0000-0000-00000E000000}" name="Action nee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/>
  </sheetViews>
  <sheetFormatPr defaultRowHeight="14.5" x14ac:dyDescent="0.35"/>
  <cols>
    <col min="1" max="1" width="45" customWidth="1"/>
    <col min="2" max="2" width="12" customWidth="1"/>
    <col min="3" max="3" width="4" customWidth="1"/>
    <col min="4" max="4" width="80" customWidth="1"/>
  </cols>
  <sheetData>
    <row r="1" spans="1:4" ht="28" customHeight="1" x14ac:dyDescent="0.35">
      <c r="A1" s="10" t="s">
        <v>0</v>
      </c>
      <c r="B1" s="10" t="s">
        <v>1</v>
      </c>
      <c r="C1" s="1"/>
      <c r="D1" s="15" t="s">
        <v>2</v>
      </c>
    </row>
    <row r="2" spans="1:4" ht="23" customHeight="1" x14ac:dyDescent="0.35">
      <c r="A2" s="2" t="s">
        <v>3</v>
      </c>
      <c r="B2" s="9">
        <f>COUNTA(Review!A2:A22)</f>
        <v>21</v>
      </c>
      <c r="C2" s="1"/>
      <c r="D2" s="17" t="s">
        <v>4</v>
      </c>
    </row>
    <row r="3" spans="1:4" ht="23" customHeight="1" x14ac:dyDescent="0.35">
      <c r="A3" s="2" t="s">
        <v>5</v>
      </c>
      <c r="B3" s="9">
        <f>COUNTIF(Review!J2:J22,"exact_match")</f>
        <v>17</v>
      </c>
      <c r="C3" s="1"/>
      <c r="D3" s="17" t="s">
        <v>4</v>
      </c>
    </row>
    <row r="4" spans="1:4" ht="23" customHeight="1" x14ac:dyDescent="0.35">
      <c r="A4" s="2" t="s">
        <v>6</v>
      </c>
      <c r="B4" s="9">
        <f>COUNTIF(Review!J2:J22,"missing_or_invalid_sku")</f>
        <v>0</v>
      </c>
      <c r="C4" s="1"/>
      <c r="D4" s="17" t="s">
        <v>4</v>
      </c>
    </row>
    <row r="5" spans="1:4" ht="23" customHeight="1" x14ac:dyDescent="0.35">
      <c r="A5" s="2" t="s">
        <v>7</v>
      </c>
      <c r="B5" s="9">
        <f>COUNTIF(Review!J2:J22,"missing_store_sku")</f>
        <v>1</v>
      </c>
      <c r="C5" s="1"/>
      <c r="D5" s="17" t="s">
        <v>4</v>
      </c>
    </row>
    <row r="6" spans="1:4" ht="23" customHeight="1" x14ac:dyDescent="0.35">
      <c r="A6" s="2" t="s">
        <v>8</v>
      </c>
      <c r="B6" s="9">
        <f>COUNTIF(Review!J2:J22,"duplicate_supplier_sku")</f>
        <v>2</v>
      </c>
      <c r="C6" s="1"/>
      <c r="D6" s="15" t="s">
        <v>9</v>
      </c>
    </row>
    <row r="7" spans="1:4" ht="23" customHeight="1" x14ac:dyDescent="0.35">
      <c r="A7" s="2" t="s">
        <v>10</v>
      </c>
      <c r="B7" s="9">
        <f>COUNTIF(Review!J2:J22,"duplicate_store_sku")</f>
        <v>0</v>
      </c>
      <c r="C7" s="1"/>
      <c r="D7" s="17" t="s">
        <v>11</v>
      </c>
    </row>
    <row r="8" spans="1:4" ht="23" customHeight="1" x14ac:dyDescent="0.35">
      <c r="A8" s="2" t="s">
        <v>12</v>
      </c>
      <c r="B8" s="9">
        <f>COUNTIF(Review!J2:J22,"missing_or_invalid_price")</f>
        <v>1</v>
      </c>
      <c r="C8" s="1"/>
      <c r="D8" s="17" t="s">
        <v>11</v>
      </c>
    </row>
    <row r="9" spans="1:4" ht="23" customHeight="1" x14ac:dyDescent="0.35">
      <c r="A9" s="2" t="s">
        <v>13</v>
      </c>
      <c r="B9" s="9">
        <f>COUNTIF(Review!I2:I22,"increase")</f>
        <v>2</v>
      </c>
      <c r="C9" s="1"/>
      <c r="D9" s="17" t="s">
        <v>11</v>
      </c>
    </row>
    <row r="10" spans="1:4" ht="23" customHeight="1" x14ac:dyDescent="0.35">
      <c r="A10" s="2" t="s">
        <v>14</v>
      </c>
      <c r="B10" s="9">
        <f>COUNTIF(Review!I2:I22,"decrease")</f>
        <v>2</v>
      </c>
      <c r="C10" s="1"/>
      <c r="D10" s="17" t="s">
        <v>11</v>
      </c>
    </row>
    <row r="11" spans="1:4" ht="23" customHeight="1" x14ac:dyDescent="0.35">
      <c r="A11" s="2" t="s">
        <v>15</v>
      </c>
      <c r="B11" s="9">
        <f>COUNTIF(Review!I2:I22,"unchanged")</f>
        <v>13</v>
      </c>
      <c r="C11" s="1"/>
      <c r="D11" s="15" t="s">
        <v>16</v>
      </c>
    </row>
    <row r="12" spans="1:4" ht="23" customHeight="1" x14ac:dyDescent="0.35">
      <c r="A12" s="13" t="s">
        <v>17</v>
      </c>
      <c r="B12" s="14">
        <f>SUM(B4:B8)</f>
        <v>4</v>
      </c>
      <c r="C12" s="1"/>
      <c r="D12" s="17" t="s">
        <v>18</v>
      </c>
    </row>
    <row r="13" spans="1:4" ht="23" customHeight="1" x14ac:dyDescent="0.35">
      <c r="A13" s="2" t="s">
        <v>19</v>
      </c>
      <c r="B13" s="9">
        <f>COUNTIF(Review!K2:K22,"&lt;&gt;")</f>
        <v>0</v>
      </c>
      <c r="C13" s="1"/>
      <c r="D13" s="17" t="s">
        <v>18</v>
      </c>
    </row>
    <row r="14" spans="1:4" ht="23" customHeight="1" x14ac:dyDescent="0.35">
      <c r="A14" s="11" t="s">
        <v>20</v>
      </c>
      <c r="B14" s="12">
        <f>SUM(B9:B10)</f>
        <v>4</v>
      </c>
      <c r="C14" s="1"/>
      <c r="D14" s="17" t="s">
        <v>18</v>
      </c>
    </row>
    <row r="15" spans="1:4" ht="23" customHeight="1" x14ac:dyDescent="0.35">
      <c r="A15" s="1"/>
      <c r="B15" s="1"/>
      <c r="C15" s="1"/>
      <c r="D15" s="17" t="s">
        <v>18</v>
      </c>
    </row>
    <row r="16" spans="1:4" ht="23" customHeight="1" x14ac:dyDescent="0.35">
      <c r="A16" s="16" t="s">
        <v>21</v>
      </c>
      <c r="B16" s="1"/>
      <c r="C16" s="1"/>
      <c r="D16" s="17" t="s">
        <v>18</v>
      </c>
    </row>
    <row r="17" spans="1:4" ht="23" customHeight="1" x14ac:dyDescent="0.35">
      <c r="A17" s="18" t="s">
        <v>22</v>
      </c>
      <c r="B17" s="18"/>
      <c r="C17" s="1"/>
      <c r="D17" s="1"/>
    </row>
    <row r="18" spans="1:4" ht="23" customHeight="1" x14ac:dyDescent="0.35">
      <c r="A18" s="19" t="s">
        <v>23</v>
      </c>
      <c r="B18" s="19"/>
      <c r="C18" s="1"/>
      <c r="D18" s="15" t="s">
        <v>24</v>
      </c>
    </row>
    <row r="19" spans="1:4" ht="23" customHeight="1" x14ac:dyDescent="0.35">
      <c r="A19" s="1"/>
      <c r="B19" s="1"/>
      <c r="C19" s="1"/>
      <c r="D19" s="17" t="s">
        <v>25</v>
      </c>
    </row>
    <row r="20" spans="1:4" ht="23" customHeight="1" x14ac:dyDescent="0.35">
      <c r="A20" s="20" t="s">
        <v>26</v>
      </c>
      <c r="B20" s="20"/>
      <c r="C20" s="1"/>
      <c r="D20" s="17" t="s">
        <v>25</v>
      </c>
    </row>
  </sheetData>
  <mergeCells count="7">
    <mergeCell ref="D2:D5"/>
    <mergeCell ref="D7:D10"/>
    <mergeCell ref="D12:D16"/>
    <mergeCell ref="D19:D20"/>
    <mergeCell ref="A17:B17"/>
    <mergeCell ref="A18:B18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showGridLines="0" zoomScale="63" workbookViewId="0">
      <pane xSplit="2" ySplit="1" topLeftCell="H2" activePane="bottomRight" state="frozen"/>
      <selection pane="topRight"/>
      <selection pane="bottomLeft"/>
      <selection pane="bottomRight" activeCell="C24" sqref="C24"/>
    </sheetView>
  </sheetViews>
  <sheetFormatPr defaultRowHeight="14.5" x14ac:dyDescent="0.35"/>
  <cols>
    <col min="1" max="1" width="16" customWidth="1"/>
    <col min="2" max="2" width="29" customWidth="1"/>
    <col min="3" max="3" width="28" customWidth="1"/>
    <col min="4" max="4" width="29" customWidth="1"/>
    <col min="5" max="5" width="30" customWidth="1"/>
    <col min="6" max="6" width="18" customWidth="1"/>
    <col min="7" max="7" width="20" customWidth="1"/>
    <col min="8" max="8" width="18" customWidth="1"/>
    <col min="9" max="9" width="20" customWidth="1"/>
    <col min="10" max="10" width="29" customWidth="1"/>
    <col min="11" max="11" width="34" customWidth="1"/>
    <col min="12" max="12" width="46" customWidth="1"/>
    <col min="13" max="13" width="48" customWidth="1"/>
    <col min="14" max="14" width="52" customWidth="1"/>
  </cols>
  <sheetData>
    <row r="1" spans="1:14" ht="42" customHeight="1" x14ac:dyDescent="0.3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</row>
    <row r="2" spans="1:14" ht="34" customHeight="1" x14ac:dyDescent="0.35">
      <c r="A2" s="7" t="s">
        <v>41</v>
      </c>
      <c r="B2" s="8" t="s">
        <v>42</v>
      </c>
      <c r="C2" s="3" t="s">
        <v>43</v>
      </c>
      <c r="D2" s="8" t="s">
        <v>42</v>
      </c>
      <c r="E2" s="3" t="s">
        <v>43</v>
      </c>
      <c r="F2" s="6">
        <v>45</v>
      </c>
      <c r="G2" s="6">
        <v>45</v>
      </c>
      <c r="H2" s="6">
        <v>0</v>
      </c>
      <c r="I2" s="2" t="s">
        <v>44</v>
      </c>
      <c r="J2" s="3" t="s">
        <v>45</v>
      </c>
      <c r="K2" s="4"/>
      <c r="L2" s="4"/>
      <c r="M2" s="4" t="s">
        <v>46</v>
      </c>
      <c r="N2" s="4" t="s">
        <v>47</v>
      </c>
    </row>
    <row r="3" spans="1:14" ht="34" customHeight="1" x14ac:dyDescent="0.35">
      <c r="A3" s="7" t="s">
        <v>48</v>
      </c>
      <c r="B3" s="8" t="s">
        <v>49</v>
      </c>
      <c r="C3" s="3" t="s">
        <v>50</v>
      </c>
      <c r="D3" s="8" t="s">
        <v>49</v>
      </c>
      <c r="E3" s="3" t="s">
        <v>50</v>
      </c>
      <c r="F3" s="6">
        <v>18</v>
      </c>
      <c r="G3" s="6">
        <v>20</v>
      </c>
      <c r="H3" s="6">
        <v>2</v>
      </c>
      <c r="I3" s="2" t="s">
        <v>51</v>
      </c>
      <c r="J3" s="3" t="s">
        <v>45</v>
      </c>
      <c r="K3" s="4"/>
      <c r="L3" s="4"/>
      <c r="M3" s="4" t="s">
        <v>46</v>
      </c>
      <c r="N3" s="4" t="s">
        <v>52</v>
      </c>
    </row>
    <row r="4" spans="1:14" ht="34" customHeight="1" x14ac:dyDescent="0.35">
      <c r="A4" s="7" t="s">
        <v>53</v>
      </c>
      <c r="B4" s="8" t="s">
        <v>54</v>
      </c>
      <c r="C4" s="3" t="s">
        <v>55</v>
      </c>
      <c r="D4" s="8" t="s">
        <v>54</v>
      </c>
      <c r="E4" s="3" t="s">
        <v>55</v>
      </c>
      <c r="F4" s="6">
        <v>20</v>
      </c>
      <c r="G4" s="6">
        <v>18</v>
      </c>
      <c r="H4" s="6">
        <v>-2</v>
      </c>
      <c r="I4" s="2" t="s">
        <v>56</v>
      </c>
      <c r="J4" s="3" t="s">
        <v>45</v>
      </c>
      <c r="K4" s="4"/>
      <c r="L4" s="4"/>
      <c r="M4" s="4" t="s">
        <v>46</v>
      </c>
      <c r="N4" s="4" t="s">
        <v>52</v>
      </c>
    </row>
    <row r="5" spans="1:14" ht="34" customHeight="1" x14ac:dyDescent="0.35">
      <c r="A5" s="7" t="s">
        <v>57</v>
      </c>
      <c r="B5" s="8" t="s">
        <v>119</v>
      </c>
      <c r="C5" s="3" t="s">
        <v>59</v>
      </c>
      <c r="D5" s="8" t="s">
        <v>58</v>
      </c>
      <c r="E5" s="3" t="s">
        <v>59</v>
      </c>
      <c r="F5" s="6">
        <v>65</v>
      </c>
      <c r="G5" s="6">
        <v>65</v>
      </c>
      <c r="H5" s="6">
        <v>0</v>
      </c>
      <c r="I5" s="2" t="s">
        <v>44</v>
      </c>
      <c r="J5" s="3" t="s">
        <v>45</v>
      </c>
      <c r="K5" s="4"/>
      <c r="L5" s="4" t="s">
        <v>60</v>
      </c>
      <c r="M5" s="4" t="s">
        <v>46</v>
      </c>
      <c r="N5" s="4" t="s">
        <v>47</v>
      </c>
    </row>
    <row r="6" spans="1:14" ht="34" customHeight="1" x14ac:dyDescent="0.35">
      <c r="A6" s="7" t="s">
        <v>61</v>
      </c>
      <c r="B6" s="8" t="s">
        <v>62</v>
      </c>
      <c r="C6" s="3" t="s">
        <v>63</v>
      </c>
      <c r="D6" s="8" t="s">
        <v>62</v>
      </c>
      <c r="E6" s="3" t="s">
        <v>63</v>
      </c>
      <c r="F6" s="6">
        <v>18</v>
      </c>
      <c r="G6" s="6"/>
      <c r="H6" s="6"/>
      <c r="I6" s="2"/>
      <c r="J6" s="3" t="s">
        <v>64</v>
      </c>
      <c r="K6" s="4"/>
      <c r="L6" s="4"/>
      <c r="M6" s="4" t="s">
        <v>65</v>
      </c>
      <c r="N6" s="4" t="s">
        <v>66</v>
      </c>
    </row>
    <row r="7" spans="1:14" ht="34" customHeight="1" x14ac:dyDescent="0.35">
      <c r="A7" s="7" t="s">
        <v>67</v>
      </c>
      <c r="B7" s="8" t="s">
        <v>68</v>
      </c>
      <c r="C7" s="3" t="s">
        <v>69</v>
      </c>
      <c r="D7" s="8" t="s">
        <v>68</v>
      </c>
      <c r="E7" s="3" t="s">
        <v>69</v>
      </c>
      <c r="F7" s="6">
        <v>90</v>
      </c>
      <c r="G7" s="6">
        <v>90</v>
      </c>
      <c r="H7" s="6"/>
      <c r="I7" s="2"/>
      <c r="J7" s="3" t="s">
        <v>70</v>
      </c>
      <c r="K7" s="4"/>
      <c r="L7" s="4"/>
      <c r="M7" s="4" t="s">
        <v>71</v>
      </c>
      <c r="N7" s="4" t="s">
        <v>72</v>
      </c>
    </row>
    <row r="8" spans="1:14" ht="34" customHeight="1" x14ac:dyDescent="0.35">
      <c r="A8" s="7" t="s">
        <v>73</v>
      </c>
      <c r="B8" s="8" t="s">
        <v>74</v>
      </c>
      <c r="C8" s="3" t="s">
        <v>75</v>
      </c>
      <c r="D8" s="8" t="s">
        <v>74</v>
      </c>
      <c r="E8" s="3" t="s">
        <v>75</v>
      </c>
      <c r="F8" s="6">
        <v>45</v>
      </c>
      <c r="G8" s="6">
        <v>45</v>
      </c>
      <c r="H8" s="6">
        <v>0</v>
      </c>
      <c r="I8" s="2" t="s">
        <v>44</v>
      </c>
      <c r="J8" s="3" t="s">
        <v>45</v>
      </c>
      <c r="K8" s="4"/>
      <c r="L8" s="4"/>
      <c r="M8" s="4" t="s">
        <v>46</v>
      </c>
      <c r="N8" s="4" t="s">
        <v>47</v>
      </c>
    </row>
    <row r="9" spans="1:14" ht="34" customHeight="1" x14ac:dyDescent="0.35">
      <c r="A9" s="7" t="s">
        <v>76</v>
      </c>
      <c r="B9" s="8" t="s">
        <v>77</v>
      </c>
      <c r="C9" s="3" t="s">
        <v>78</v>
      </c>
      <c r="D9" s="8" t="s">
        <v>77</v>
      </c>
      <c r="E9" s="3" t="s">
        <v>78</v>
      </c>
      <c r="F9" s="6">
        <v>45</v>
      </c>
      <c r="G9" s="6">
        <v>45</v>
      </c>
      <c r="H9" s="6">
        <v>0</v>
      </c>
      <c r="I9" s="2" t="s">
        <v>44</v>
      </c>
      <c r="J9" s="3" t="s">
        <v>45</v>
      </c>
      <c r="K9" s="4"/>
      <c r="L9" s="4"/>
      <c r="M9" s="4" t="s">
        <v>46</v>
      </c>
      <c r="N9" s="4" t="s">
        <v>47</v>
      </c>
    </row>
    <row r="10" spans="1:14" ht="34" customHeight="1" x14ac:dyDescent="0.35">
      <c r="A10" s="7" t="s">
        <v>79</v>
      </c>
      <c r="B10" s="8" t="s">
        <v>80</v>
      </c>
      <c r="C10" s="3" t="s">
        <v>81</v>
      </c>
      <c r="D10" s="8" t="s">
        <v>80</v>
      </c>
      <c r="E10" s="3" t="s">
        <v>81</v>
      </c>
      <c r="F10" s="6">
        <v>25</v>
      </c>
      <c r="G10" s="6">
        <v>25</v>
      </c>
      <c r="H10" s="6">
        <v>0</v>
      </c>
      <c r="I10" s="2" t="s">
        <v>44</v>
      </c>
      <c r="J10" s="3" t="s">
        <v>45</v>
      </c>
      <c r="K10" s="4"/>
      <c r="L10" s="4"/>
      <c r="M10" s="4" t="s">
        <v>46</v>
      </c>
      <c r="N10" s="4" t="s">
        <v>47</v>
      </c>
    </row>
    <row r="11" spans="1:14" ht="34" customHeight="1" x14ac:dyDescent="0.35">
      <c r="A11" s="7" t="s">
        <v>82</v>
      </c>
      <c r="B11" s="8" t="s">
        <v>83</v>
      </c>
      <c r="C11" s="3" t="s">
        <v>84</v>
      </c>
      <c r="D11" s="8" t="s">
        <v>83</v>
      </c>
      <c r="E11" s="3" t="s">
        <v>84</v>
      </c>
      <c r="F11" s="6">
        <v>20</v>
      </c>
      <c r="G11" s="6">
        <v>20</v>
      </c>
      <c r="H11" s="6">
        <v>0</v>
      </c>
      <c r="I11" s="2" t="s">
        <v>44</v>
      </c>
      <c r="J11" s="3" t="s">
        <v>45</v>
      </c>
      <c r="K11" s="4"/>
      <c r="L11" s="4"/>
      <c r="M11" s="4" t="s">
        <v>46</v>
      </c>
      <c r="N11" s="4" t="s">
        <v>47</v>
      </c>
    </row>
    <row r="12" spans="1:14" ht="34" customHeight="1" x14ac:dyDescent="0.35">
      <c r="A12" s="7" t="s">
        <v>85</v>
      </c>
      <c r="B12" s="8" t="s">
        <v>86</v>
      </c>
      <c r="C12" s="3" t="s">
        <v>87</v>
      </c>
      <c r="D12" s="8" t="s">
        <v>86</v>
      </c>
      <c r="E12" s="3" t="s">
        <v>87</v>
      </c>
      <c r="F12" s="6">
        <v>20</v>
      </c>
      <c r="G12" s="6">
        <v>22</v>
      </c>
      <c r="H12" s="6">
        <v>2</v>
      </c>
      <c r="I12" s="2" t="s">
        <v>51</v>
      </c>
      <c r="J12" s="3" t="s">
        <v>45</v>
      </c>
      <c r="K12" s="4"/>
      <c r="L12" s="4"/>
      <c r="M12" s="4" t="s">
        <v>46</v>
      </c>
      <c r="N12" s="4" t="s">
        <v>52</v>
      </c>
    </row>
    <row r="13" spans="1:14" ht="34" customHeight="1" x14ac:dyDescent="0.35">
      <c r="A13" s="7" t="s">
        <v>88</v>
      </c>
      <c r="B13" s="8" t="s">
        <v>89</v>
      </c>
      <c r="C13" s="3" t="s">
        <v>90</v>
      </c>
      <c r="D13" s="8" t="s">
        <v>89</v>
      </c>
      <c r="E13" s="3" t="s">
        <v>90</v>
      </c>
      <c r="F13" s="6">
        <v>20</v>
      </c>
      <c r="G13" s="6">
        <v>20</v>
      </c>
      <c r="H13" s="6">
        <v>0</v>
      </c>
      <c r="I13" s="2" t="s">
        <v>44</v>
      </c>
      <c r="J13" s="3" t="s">
        <v>45</v>
      </c>
      <c r="K13" s="4"/>
      <c r="L13" s="4"/>
      <c r="M13" s="4" t="s">
        <v>46</v>
      </c>
      <c r="N13" s="4" t="s">
        <v>47</v>
      </c>
    </row>
    <row r="14" spans="1:14" ht="34" customHeight="1" x14ac:dyDescent="0.35">
      <c r="A14" s="7" t="s">
        <v>91</v>
      </c>
      <c r="B14" s="8" t="s">
        <v>92</v>
      </c>
      <c r="C14" s="3" t="s">
        <v>93</v>
      </c>
      <c r="D14" s="8" t="s">
        <v>92</v>
      </c>
      <c r="E14" s="3" t="s">
        <v>93</v>
      </c>
      <c r="F14" s="6">
        <v>15</v>
      </c>
      <c r="G14" s="6">
        <v>15</v>
      </c>
      <c r="H14" s="6">
        <v>0</v>
      </c>
      <c r="I14" s="2" t="s">
        <v>44</v>
      </c>
      <c r="J14" s="3" t="s">
        <v>45</v>
      </c>
      <c r="K14" s="4"/>
      <c r="L14" s="4"/>
      <c r="M14" s="4" t="s">
        <v>46</v>
      </c>
      <c r="N14" s="4" t="s">
        <v>47</v>
      </c>
    </row>
    <row r="15" spans="1:14" ht="34" customHeight="1" x14ac:dyDescent="0.35">
      <c r="A15" s="7" t="s">
        <v>94</v>
      </c>
      <c r="B15" s="8" t="s">
        <v>95</v>
      </c>
      <c r="C15" s="3" t="s">
        <v>96</v>
      </c>
      <c r="D15" s="8" t="s">
        <v>95</v>
      </c>
      <c r="E15" s="3" t="s">
        <v>96</v>
      </c>
      <c r="F15" s="6">
        <v>45</v>
      </c>
      <c r="G15" s="6">
        <v>45</v>
      </c>
      <c r="H15" s="6">
        <v>0</v>
      </c>
      <c r="I15" s="2" t="s">
        <v>44</v>
      </c>
      <c r="J15" s="3" t="s">
        <v>45</v>
      </c>
      <c r="K15" s="4"/>
      <c r="L15" s="4"/>
      <c r="M15" s="4" t="s">
        <v>46</v>
      </c>
      <c r="N15" s="4" t="s">
        <v>47</v>
      </c>
    </row>
    <row r="16" spans="1:14" ht="34" customHeight="1" x14ac:dyDescent="0.35">
      <c r="A16" s="7" t="s">
        <v>97</v>
      </c>
      <c r="B16" s="8" t="s">
        <v>98</v>
      </c>
      <c r="C16" s="3" t="s">
        <v>99</v>
      </c>
      <c r="D16" s="8" t="s">
        <v>98</v>
      </c>
      <c r="E16" s="3" t="s">
        <v>99</v>
      </c>
      <c r="F16" s="6">
        <v>45</v>
      </c>
      <c r="G16" s="6">
        <v>42</v>
      </c>
      <c r="H16" s="6">
        <v>-3</v>
      </c>
      <c r="I16" s="2" t="s">
        <v>56</v>
      </c>
      <c r="J16" s="3" t="s">
        <v>45</v>
      </c>
      <c r="K16" s="4"/>
      <c r="L16" s="4"/>
      <c r="M16" s="4" t="s">
        <v>46</v>
      </c>
      <c r="N16" s="4" t="s">
        <v>52</v>
      </c>
    </row>
    <row r="17" spans="1:14" ht="34" customHeight="1" x14ac:dyDescent="0.35">
      <c r="A17" s="7" t="s">
        <v>100</v>
      </c>
      <c r="B17" s="8" t="s">
        <v>101</v>
      </c>
      <c r="C17" s="3" t="s">
        <v>102</v>
      </c>
      <c r="D17" s="8" t="s">
        <v>101</v>
      </c>
      <c r="E17" s="3" t="s">
        <v>102</v>
      </c>
      <c r="F17" s="6">
        <v>45</v>
      </c>
      <c r="G17" s="6">
        <v>45</v>
      </c>
      <c r="H17" s="6">
        <v>0</v>
      </c>
      <c r="I17" s="2" t="s">
        <v>44</v>
      </c>
      <c r="J17" s="3" t="s">
        <v>45</v>
      </c>
      <c r="K17" s="4"/>
      <c r="L17" s="4"/>
      <c r="M17" s="4" t="s">
        <v>46</v>
      </c>
      <c r="N17" s="4" t="s">
        <v>47</v>
      </c>
    </row>
    <row r="18" spans="1:14" ht="34" customHeight="1" x14ac:dyDescent="0.35">
      <c r="A18" s="7" t="s">
        <v>103</v>
      </c>
      <c r="B18" s="8" t="s">
        <v>104</v>
      </c>
      <c r="C18" s="3" t="s">
        <v>105</v>
      </c>
      <c r="D18" s="8" t="s">
        <v>104</v>
      </c>
      <c r="E18" s="3" t="s">
        <v>105</v>
      </c>
      <c r="F18" s="6">
        <v>18</v>
      </c>
      <c r="G18" s="6">
        <v>18</v>
      </c>
      <c r="H18" s="6">
        <v>0</v>
      </c>
      <c r="I18" s="2" t="s">
        <v>44</v>
      </c>
      <c r="J18" s="3" t="s">
        <v>45</v>
      </c>
      <c r="K18" s="4"/>
      <c r="L18" s="4"/>
      <c r="M18" s="4" t="s">
        <v>46</v>
      </c>
      <c r="N18" s="4" t="s">
        <v>47</v>
      </c>
    </row>
    <row r="19" spans="1:14" ht="34" customHeight="1" x14ac:dyDescent="0.35">
      <c r="A19" s="7" t="s">
        <v>106</v>
      </c>
      <c r="B19" s="8" t="s">
        <v>107</v>
      </c>
      <c r="C19" s="3" t="s">
        <v>108</v>
      </c>
      <c r="D19" s="8" t="s">
        <v>107</v>
      </c>
      <c r="E19" s="3" t="s">
        <v>108</v>
      </c>
      <c r="F19" s="6">
        <v>20</v>
      </c>
      <c r="G19" s="6">
        <v>20</v>
      </c>
      <c r="H19" s="6">
        <v>0</v>
      </c>
      <c r="I19" s="2" t="s">
        <v>44</v>
      </c>
      <c r="J19" s="3" t="s">
        <v>45</v>
      </c>
      <c r="K19" s="4"/>
      <c r="L19" s="4"/>
      <c r="M19" s="4" t="s">
        <v>46</v>
      </c>
      <c r="N19" s="4" t="s">
        <v>47</v>
      </c>
    </row>
    <row r="20" spans="1:14" ht="34" customHeight="1" x14ac:dyDescent="0.35">
      <c r="A20" s="7" t="s">
        <v>109</v>
      </c>
      <c r="B20" s="8" t="s">
        <v>110</v>
      </c>
      <c r="C20" s="3" t="s">
        <v>111</v>
      </c>
      <c r="D20" s="8" t="s">
        <v>110</v>
      </c>
      <c r="E20" s="3" t="s">
        <v>111</v>
      </c>
      <c r="F20" s="6">
        <v>45</v>
      </c>
      <c r="G20" s="6">
        <v>45</v>
      </c>
      <c r="H20" s="6">
        <v>0</v>
      </c>
      <c r="I20" s="2" t="s">
        <v>44</v>
      </c>
      <c r="J20" s="3" t="s">
        <v>45</v>
      </c>
      <c r="K20" s="4"/>
      <c r="L20" s="4"/>
      <c r="M20" s="4" t="s">
        <v>46</v>
      </c>
      <c r="N20" s="4" t="s">
        <v>47</v>
      </c>
    </row>
    <row r="21" spans="1:14" ht="34" customHeight="1" x14ac:dyDescent="0.35">
      <c r="A21" s="7" t="s">
        <v>112</v>
      </c>
      <c r="B21" s="8" t="s">
        <v>68</v>
      </c>
      <c r="C21" s="3" t="s">
        <v>69</v>
      </c>
      <c r="D21" s="8" t="s">
        <v>68</v>
      </c>
      <c r="E21" s="3" t="s">
        <v>69</v>
      </c>
      <c r="F21" s="6">
        <v>90</v>
      </c>
      <c r="G21" s="6">
        <v>95</v>
      </c>
      <c r="H21" s="6"/>
      <c r="I21" s="2"/>
      <c r="J21" s="3" t="s">
        <v>70</v>
      </c>
      <c r="K21" s="4"/>
      <c r="L21" s="4"/>
      <c r="M21" s="4" t="s">
        <v>71</v>
      </c>
      <c r="N21" s="4" t="s">
        <v>72</v>
      </c>
    </row>
    <row r="22" spans="1:14" ht="34" customHeight="1" x14ac:dyDescent="0.35">
      <c r="A22" s="7" t="s">
        <v>113</v>
      </c>
      <c r="B22" s="8" t="s">
        <v>114</v>
      </c>
      <c r="C22" s="3" t="s">
        <v>115</v>
      </c>
      <c r="D22" s="8"/>
      <c r="E22" s="3"/>
      <c r="F22" s="6"/>
      <c r="G22" s="6">
        <v>12</v>
      </c>
      <c r="H22" s="6"/>
      <c r="I22" s="2"/>
      <c r="J22" s="3" t="s">
        <v>116</v>
      </c>
      <c r="K22" s="4"/>
      <c r="L22" s="4"/>
      <c r="M22" s="4" t="s">
        <v>117</v>
      </c>
      <c r="N22" s="4" t="s">
        <v>118</v>
      </c>
    </row>
  </sheetData>
  <conditionalFormatting sqref="A2:N22">
    <cfRule type="expression" dxfId="1" priority="1">
      <formula>AND($J2&lt;&gt;"",$J2&lt;&gt;"exact_match")</formula>
    </cfRule>
    <cfRule type="expression" dxfId="0" priority="2">
      <formula>AND($J2="exact_match",$H2&lt;&gt;0)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 Eddy</cp:lastModifiedBy>
  <dcterms:modified xsi:type="dcterms:W3CDTF">2026-10-25T03:33:29Z</dcterms:modified>
</cp:coreProperties>
</file>